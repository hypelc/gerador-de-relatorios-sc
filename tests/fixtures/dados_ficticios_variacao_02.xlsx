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fc5bd46cb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as Regionais" sheetId="1" r:id="R2c6406363ec54058"/>
    <x:sheet xmlns:r="http://schemas.openxmlformats.org/officeDocument/2006/relationships" name="VACINA ALFA" sheetId="2" r:id="R6e192cbda40a4238"/>
    <x:sheet xmlns:r="http://schemas.openxmlformats.org/officeDocument/2006/relationships" name="VACINA BETA" sheetId="3" r:id="R8b2c61ce75924559"/>
    <x:sheet xmlns:r="http://schemas.openxmlformats.org/officeDocument/2006/relationships" name="VACINA GAMA" sheetId="4" r:id="R6c668f4bb1b5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1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1" fillId="2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61a7d79e44872" /><Relationship Type="http://schemas.openxmlformats.org/officeDocument/2006/relationships/theme" Target="/xl/theme/theme1.xml" Id="R8310c0b07811435f" /><Relationship Type="http://schemas.openxmlformats.org/officeDocument/2006/relationships/sharedStrings" Target="/xl/sharedStrings.xml" Id="Rd2e7900ea8ff42c3" /><Relationship Type="http://schemas.openxmlformats.org/officeDocument/2006/relationships/worksheet" Target="/xl/worksheets/sheet1.xml" Id="R2c6406363ec54058" /><Relationship Type="http://schemas.openxmlformats.org/officeDocument/2006/relationships/worksheet" Target="/xl/worksheets/sheet2.xml" Id="R6e192cbda40a4238" /><Relationship Type="http://schemas.openxmlformats.org/officeDocument/2006/relationships/worksheet" Target="/xl/worksheets/sheet3.xml" Id="R8b2c61ce75924559" /><Relationship Type="http://schemas.openxmlformats.org/officeDocument/2006/relationships/worksheet" Target="/xl/worksheets/sheet4.xml" Id="R6c668f4bb1b5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4">
      <x:c r="A4" s="10" t="str">
        <x:v>Regionais</x:v>
      </x:c>
      <x:c r="B4" s="11" t="str">
        <x:v>Taxa de profissionais</x:v>
      </x:c>
    </x:row>
    <x:row r="5">
      <x:c r="A5" s="12" t="str">
        <x:v>Litoral Norte</x:v>
      </x:c>
      <x:c r="B5" s="22" t="n">
        <x:v>17.78</x:v>
      </x:c>
    </x:row>
    <x:row r="6">
      <x:c r="A6" s="12" t="str">
        <x:v>Oeste Verde</x:v>
      </x:c>
      <x:c r="B6" s="22" t="n">
        <x:v>12.87</x:v>
      </x:c>
    </x:row>
    <x:row r="7">
      <x:c r="A7" s="12" t="str">
        <x:v>Planalto Leste</x:v>
      </x:c>
      <x:c r="B7" s="22" t="n">
        <x:v>16.46</x:v>
      </x:c>
    </x:row>
    <x:row r="8">
      <x:c r="A8" s="12" t="str">
        <x:v>Campos do Norte</x:v>
      </x:c>
      <x:c r="B8" s="22" t="n">
        <x:v>12.79</x:v>
      </x:c>
    </x:row>
    <x:row r="9">
      <x:c r="A9" s="12" t="str">
        <x:v>Vale das Águas</x:v>
      </x:c>
      <x:c r="B9" s="22" t="n">
        <x:v>7.69</x:v>
      </x:c>
    </x:row>
    <x:row r="10">
      <x:c r="A10" s="12" t="str">
        <x:v>Serra Alta</x:v>
      </x:c>
      <x:c r="B10" s="22" t="n">
        <x:v>17.16</x:v>
      </x:c>
    </x:row>
    <x:row r="11">
      <x:c r="A11" s="12" t="str">
        <x:v>Costa Sul</x:v>
      </x:c>
      <x:c r="B11" s="22" t="n">
        <x:v>10.18</x:v>
      </x:c>
    </x:row>
    <x:row r="12">
      <x:c r="A12" s="12" t="str">
        <x:v>Vale Central</x:v>
      </x:c>
      <x:c r="B12" s="22" t="n">
        <x:v>7.65</x:v>
      </x:c>
    </x:row>
    <x:row r="13">
      <x:c r="A13" s="14" t="str">
        <x:v>Estado Fictício</x:v>
      </x:c>
      <x:c r="B13" s="23" t="n">
        <x:v>12.82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26" t="str">
        <x:v>Imunizações - Cobertura - Base Fictícia</x:v>
      </x:c>
    </x:row>
    <x:row r="2">
      <x:c r="A2" s="26" t="str">
        <x:v>Vacina Alfa por Ano segundo Macrorregião de Saúde</x:v>
      </x:c>
    </x:row>
    <x:row r="3">
      <x:c r="A3" t="str">
        <x:v>Região: Estado Fictício; Período: 2016-2025; Dados simulados</x:v>
      </x:c>
    </x:row>
    <x:row r="7">
      <x:c r="A7" s="33" t="str">
        <x:v>Macrorregião de Saúde</x:v>
      </x:c>
      <x:c r="B7" s="34" t="n">
        <x:v>2025</x:v>
      </x:c>
      <x:c r="C7" s="34" t="n">
        <x:v>2024</x:v>
      </x:c>
      <x:c r="D7" s="34" t="n">
        <x:v>2023</x:v>
      </x:c>
      <x:c r="E7" s="34" t="n">
        <x:v>2022</x:v>
      </x:c>
      <x:c r="F7" s="34" t="n">
        <x:v>2021</x:v>
      </x:c>
      <x:c r="G7" s="34" t="n">
        <x:v>2020</x:v>
      </x:c>
      <x:c r="H7" s="34" t="n">
        <x:v>2019</x:v>
      </x:c>
      <x:c r="I7" s="34" t="n">
        <x:v>2018</x:v>
      </x:c>
      <x:c r="J7" s="34" t="n">
        <x:v>2017</x:v>
      </x:c>
      <x:c r="K7" s="34" t="n">
        <x:v>2016</x:v>
      </x:c>
      <x:c r="L7" s="35" t="str">
        <x:v>MÉDIA</x:v>
      </x:c>
    </x:row>
    <x:row r="8">
      <x:c r="A8" s="36" t="str">
        <x:v>5104 OESTE VERDE</x:v>
      </x:c>
      <x:c r="B8" s="51" t="n">
        <x:v>82.36</x:v>
      </x:c>
      <x:c r="C8" s="51" t="n">
        <x:v>81.61</x:v>
      </x:c>
      <x:c r="D8" s="51" t="n">
        <x:v>84.5</x:v>
      </x:c>
      <x:c r="E8" s="51" t="n">
        <x:v>82.97</x:v>
      </x:c>
      <x:c r="F8" s="51" t="n">
        <x:v>83.95</x:v>
      </x:c>
      <x:c r="G8" s="51" t="n">
        <x:v>80.36</x:v>
      </x:c>
      <x:c r="H8" s="51" t="n">
        <x:v>81.55</x:v>
      </x:c>
      <x:c r="I8" s="51" t="n">
        <x:v>84.12</x:v>
      </x:c>
      <x:c r="J8" s="51" t="n">
        <x:v>84.23</x:v>
      </x:c>
      <x:c r="K8" s="51" t="n">
        <x:v>91.63</x:v>
      </x:c>
      <x:c r="L8" s="52" t="n">
        <x:f>AVERAGE(B8:K8)</x:f>
        <x:v>83.728</x:v>
      </x:c>
    </x:row>
    <x:row r="9">
      <x:c r="A9" s="36" t="str">
        <x:v>5107 VALE DAS ÁGUAS</x:v>
      </x:c>
      <x:c r="B9" s="51" t="n">
        <x:v>99.89</x:v>
      </x:c>
      <x:c r="C9" s="51" t="n">
        <x:v>101.25</x:v>
      </x:c>
      <x:c r="D9" s="51" t="n">
        <x:v>95.56</x:v>
      </x:c>
      <x:c r="E9" s="51" t="n">
        <x:v>91.47</x:v>
      </x:c>
      <x:c r="F9" s="51" t="n">
        <x:v>85.23</x:v>
      </x:c>
      <x:c r="G9" s="51" t="n">
        <x:v>85.9</x:v>
      </x:c>
      <x:c r="H9" s="51" t="n">
        <x:v>84.34</x:v>
      </x:c>
      <x:c r="I9" s="51" t="n">
        <x:v>86.36</x:v>
      </x:c>
      <x:c r="J9" s="51" t="n">
        <x:v>89.4</x:v>
      </x:c>
      <x:c r="K9" s="51" t="n">
        <x:v>96.29</x:v>
      </x:c>
      <x:c r="L9" s="52" t="n">
        <x:f>AVERAGE(B9:K9)</x:f>
        <x:v>91.56899999999999</x:v>
      </x:c>
    </x:row>
    <x:row r="10">
      <x:c r="A10" s="36" t="str">
        <x:v>5108 CAMPOS DO NORTE</x:v>
      </x:c>
      <x:c r="B10" s="51" t="n">
        <x:v>100.25</x:v>
      </x:c>
      <x:c r="C10" s="51" t="n">
        <x:v>103.88</x:v>
      </x:c>
      <x:c r="D10" s="51" t="n">
        <x:v>95.52</x:v>
      </x:c>
      <x:c r="E10" s="51" t="n">
        <x:v>99.56</x:v>
      </x:c>
      <x:c r="F10" s="51" t="n">
        <x:v>91.88</x:v>
      </x:c>
      <x:c r="G10" s="51" t="n">
        <x:v>90.24</x:v>
      </x:c>
      <x:c r="H10" s="51" t="n">
        <x:v>84.61</x:v>
      </x:c>
      <x:c r="I10" s="51" t="n">
        <x:v>86.13</x:v>
      </x:c>
      <x:c r="J10" s="51" t="n">
        <x:v>91.43</x:v>
      </x:c>
      <x:c r="K10" s="51" t="n">
        <x:v>88.8</x:v>
      </x:c>
      <x:c r="L10" s="52" t="n">
        <x:f>AVERAGE(B10:K10)</x:f>
        <x:v>93.22999999999999</x:v>
      </x:c>
    </x:row>
    <x:row r="11">
      <x:c r="A11" s="36" t="str">
        <x:v>5103 PLANALTO LESTE</x:v>
      </x:c>
      <x:c r="B11" s="51" t="n">
        <x:v>79.28</x:v>
      </x:c>
      <x:c r="C11" s="51" t="n">
        <x:v>79.52</x:v>
      </x:c>
      <x:c r="D11" s="51" t="n">
        <x:v>74.66</x:v>
      </x:c>
      <x:c r="E11" s="51" t="n">
        <x:v>82.4</x:v>
      </x:c>
      <x:c r="F11" s="51" t="n">
        <x:v>81.08</x:v>
      </x:c>
      <x:c r="G11" s="51" t="n">
        <x:v>80.25</x:v>
      </x:c>
      <x:c r="H11" s="51" t="n">
        <x:v>85.85</x:v>
      </x:c>
      <x:c r="I11" s="51" t="n">
        <x:v>79.68</x:v>
      </x:c>
      <x:c r="J11" s="51" t="n">
        <x:v>81.78</x:v>
      </x:c>
      <x:c r="K11" s="51" t="n">
        <x:v>83.74</x:v>
      </x:c>
      <x:c r="L11" s="52" t="n">
        <x:f>AVERAGE(B11:K11)</x:f>
        <x:v>80.824</x:v>
      </x:c>
    </x:row>
    <x:row r="12">
      <x:c r="A12" s="36" t="str">
        <x:v>5102 VALE CENTRAL</x:v>
      </x:c>
      <x:c r="B12" s="51" t="n">
        <x:v>76.79</x:v>
      </x:c>
      <x:c r="C12" s="51" t="n">
        <x:v>80.62</x:v>
      </x:c>
      <x:c r="D12" s="51" t="n">
        <x:v>77.2</x:v>
      </x:c>
      <x:c r="E12" s="51" t="n">
        <x:v>78.49</x:v>
      </x:c>
      <x:c r="F12" s="51" t="n">
        <x:v>76.33</x:v>
      </x:c>
      <x:c r="G12" s="51" t="n">
        <x:v>84.55</x:v>
      </x:c>
      <x:c r="H12" s="51" t="n">
        <x:v>86.09</x:v>
      </x:c>
      <x:c r="I12" s="51" t="n">
        <x:v>84.63</x:v>
      </x:c>
      <x:c r="J12" s="51" t="n">
        <x:v>86.5</x:v>
      </x:c>
      <x:c r="K12" s="51" t="n">
        <x:v>75.47</x:v>
      </x:c>
      <x:c r="L12" s="52" t="n">
        <x:f>AVERAGE(B12:K12)</x:f>
        <x:v>80.667</x:v>
      </x:c>
    </x:row>
    <x:row r="13">
      <x:c r="A13" s="36" t="str">
        <x:v>5101 LITORAL NORTE</x:v>
      </x:c>
      <x:c r="B13" s="51" t="n">
        <x:v>68.65</x:v>
      </x:c>
      <x:c r="C13" s="51" t="n">
        <x:v>79.65</x:v>
      </x:c>
      <x:c r="D13" s="51" t="n">
        <x:v>75.74</x:v>
      </x:c>
      <x:c r="E13" s="51" t="n">
        <x:v>73.44</x:v>
      </x:c>
      <x:c r="F13" s="51" t="n">
        <x:v>79.64</x:v>
      </x:c>
      <x:c r="G13" s="51" t="n">
        <x:v>85.6</x:v>
      </x:c>
      <x:c r="H13" s="51" t="n">
        <x:v>76.81</x:v>
      </x:c>
      <x:c r="I13" s="51" t="n">
        <x:v>84.76</x:v>
      </x:c>
      <x:c r="J13" s="51" t="n">
        <x:v>79.35</x:v>
      </x:c>
      <x:c r="K13" s="51" t="n">
        <x:v>69.53</x:v>
      </x:c>
      <x:c r="L13" s="52" t="n">
        <x:f>AVERAGE(B13:K13)</x:f>
        <x:v>77.317</x:v>
      </x:c>
    </x:row>
    <x:row r="14">
      <x:c r="A14" s="36" t="str">
        <x:v>5106 COSTA SUL</x:v>
      </x:c>
      <x:c r="B14" s="51" t="n">
        <x:v>93.88</x:v>
      </x:c>
      <x:c r="C14" s="51" t="n">
        <x:v>91.05</x:v>
      </x:c>
      <x:c r="D14" s="51" t="n">
        <x:v>87.94</x:v>
      </x:c>
      <x:c r="E14" s="51" t="n">
        <x:v>83.61</x:v>
      </x:c>
      <x:c r="F14" s="51" t="n">
        <x:v>86.85</x:v>
      </x:c>
      <x:c r="G14" s="51" t="n">
        <x:v>81.91</x:v>
      </x:c>
      <x:c r="H14" s="51" t="n">
        <x:v>84.92</x:v>
      </x:c>
      <x:c r="I14" s="51" t="n">
        <x:v>90.95</x:v>
      </x:c>
      <x:c r="J14" s="51" t="n">
        <x:v>91.6</x:v>
      </x:c>
      <x:c r="K14" s="51" t="n">
        <x:v>93.87</x:v>
      </x:c>
      <x:c r="L14" s="52" t="n">
        <x:f>AVERAGE(B14:K14)</x:f>
        <x:v>88.658</x:v>
      </x:c>
    </x:row>
    <x:row r="15">
      <x:c r="A15" s="39" t="str">
        <x:v>5105 SERRA ALTA</x:v>
      </x:c>
      <x:c r="B15" s="53" t="n">
        <x:v>93.55</x:v>
      </x:c>
      <x:c r="C15" s="53" t="n">
        <x:v>91.92</x:v>
      </x:c>
      <x:c r="D15" s="53" t="n">
        <x:v>84.11</x:v>
      </x:c>
      <x:c r="E15" s="53" t="n">
        <x:v>81.07</x:v>
      </x:c>
      <x:c r="F15" s="53" t="n">
        <x:v>82.58</x:v>
      </x:c>
      <x:c r="G15" s="53" t="n">
        <x:v>78.33</x:v>
      </x:c>
      <x:c r="H15" s="53" t="n">
        <x:v>86.43</x:v>
      </x:c>
      <x:c r="I15" s="53" t="n">
        <x:v>91.63</x:v>
      </x:c>
      <x:c r="J15" s="53" t="n">
        <x:v>91.82</x:v>
      </x:c>
      <x:c r="K15" s="53" t="n">
        <x:v>93.11</x:v>
      </x:c>
      <x:c r="L15" s="54" t="n">
        <x:f>AVERAGE(B15:K15)</x:f>
        <x:v>87.45500000000001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26" t="str">
        <x:v>Imunizações - Cobertura - Base Fictícia</x:v>
      </x:c>
    </x:row>
    <x:row r="2">
      <x:c r="A2" s="26" t="str">
        <x:v>Vacina Beta por Ano segundo Macrorregião de Saúde</x:v>
      </x:c>
    </x:row>
    <x:row r="3">
      <x:c r="A3" t="str">
        <x:v>Região: Estado Fictício; Período: 2016-2025; Dados simulados</x:v>
      </x:c>
    </x:row>
    <x:row r="8">
      <x:c r="A8" s="33" t="str">
        <x:v>Macrorregião de Saúde</x:v>
      </x:c>
      <x:c r="B8" s="34" t="n">
        <x:v>2025</x:v>
      </x:c>
      <x:c r="C8" s="34" t="n">
        <x:v>2024</x:v>
      </x:c>
      <x:c r="D8" s="34" t="n">
        <x:v>2023</x:v>
      </x:c>
      <x:c r="E8" s="34" t="n">
        <x:v>2022</x:v>
      </x:c>
      <x:c r="F8" s="34" t="n">
        <x:v>2021</x:v>
      </x:c>
      <x:c r="G8" s="34" t="n">
        <x:v>2020</x:v>
      </x:c>
      <x:c r="H8" s="34" t="n">
        <x:v>2019</x:v>
      </x:c>
      <x:c r="I8" s="34" t="n">
        <x:v>2018</x:v>
      </x:c>
      <x:c r="J8" s="34" t="n">
        <x:v>2017</x:v>
      </x:c>
      <x:c r="K8" s="34" t="n">
        <x:v>2016</x:v>
      </x:c>
      <x:c r="L8" s="35" t="str">
        <x:v>MÉDIA</x:v>
      </x:c>
    </x:row>
    <x:row r="9">
      <x:c r="A9" s="36" t="str">
        <x:v>5102 VALE CENTRAL</x:v>
      </x:c>
      <x:c r="B9" s="51" t="n">
        <x:v>76.9</x:v>
      </x:c>
      <x:c r="C9" s="51" t="n">
        <x:v>73.52</x:v>
      </x:c>
      <x:c r="D9" s="51" t="n">
        <x:v>76.77</x:v>
      </x:c>
      <x:c r="E9" s="51" t="n">
        <x:v>78.59</x:v>
      </x:c>
      <x:c r="F9" s="51" t="n">
        <x:v>82.72</x:v>
      </x:c>
      <x:c r="G9" s="51" t="n">
        <x:v>82.54</x:v>
      </x:c>
      <x:c r="H9" s="51" t="n">
        <x:v>78.69</x:v>
      </x:c>
      <x:c r="I9" s="51" t="n">
        <x:v>82.22</x:v>
      </x:c>
      <x:c r="J9" s="51" t="n">
        <x:v>89.49</x:v>
      </x:c>
      <x:c r="K9" s="51" t="n">
        <x:v>85.23</x:v>
      </x:c>
      <x:c r="L9" s="52" t="n">
        <x:f>AVERAGE(B9:K9)</x:f>
        <x:v>80.667</x:v>
      </x:c>
    </x:row>
    <x:row r="10">
      <x:c r="A10" s="36" t="str">
        <x:v>5104 OESTE VERDE</x:v>
      </x:c>
      <x:c r="B10" s="51" t="n">
        <x:v>89.26</x:v>
      </x:c>
      <x:c r="C10" s="51" t="n">
        <x:v>82.87</x:v>
      </x:c>
      <x:c r="D10" s="51" t="n">
        <x:v>88.62</x:v>
      </x:c>
      <x:c r="E10" s="51" t="n">
        <x:v>84.21</x:v>
      </x:c>
      <x:c r="F10" s="51" t="n">
        <x:v>83.74</x:v>
      </x:c>
      <x:c r="G10" s="51" t="n">
        <x:v>86.73</x:v>
      </x:c>
      <x:c r="H10" s="51" t="n">
        <x:v>82.22</x:v>
      </x:c>
      <x:c r="I10" s="51" t="n">
        <x:v>81.28</x:v>
      </x:c>
      <x:c r="J10" s="51" t="n">
        <x:v>92.77</x:v>
      </x:c>
      <x:c r="K10" s="51" t="n">
        <x:v>88.42</x:v>
      </x:c>
      <x:c r="L10" s="52" t="n">
        <x:f>AVERAGE(B10:K10)</x:f>
        <x:v>86.01199999999999</x:v>
      </x:c>
    </x:row>
    <x:row r="11">
      <x:c r="A11" s="36" t="str">
        <x:v>5101 LITORAL NORTE</x:v>
      </x:c>
      <x:c r="B11" s="51" t="n">
        <x:v>79.51</x:v>
      </x:c>
      <x:c r="C11" s="51" t="n">
        <x:v>72.71</x:v>
      </x:c>
      <x:c r="D11" s="51" t="n">
        <x:v>78.87</x:v>
      </x:c>
      <x:c r="E11" s="51" t="n">
        <x:v>74.67</x:v>
      </x:c>
      <x:c r="F11" s="51" t="n">
        <x:v>77.51</x:v>
      </x:c>
      <x:c r="G11" s="51" t="n">
        <x:v>86.16</x:v>
      </x:c>
      <x:c r="H11" s="51" t="n">
        <x:v>87.19</x:v>
      </x:c>
      <x:c r="I11" s="51" t="n">
        <x:v>85.67</x:v>
      </x:c>
      <x:c r="J11" s="51" t="n">
        <x:v>79.35</x:v>
      </x:c>
      <x:c r="K11" s="51" t="n">
        <x:v>83.45</x:v>
      </x:c>
      <x:c r="L11" s="52" t="n">
        <x:f>AVERAGE(B11:K11)</x:f>
        <x:v>80.50899999999999</x:v>
      </x:c>
    </x:row>
    <x:row r="12">
      <x:c r="A12" s="36" t="str">
        <x:v>5108 CAMPOS DO NORTE</x:v>
      </x:c>
      <x:c r="B12" s="51" t="n">
        <x:v>106.35</x:v>
      </x:c>
      <x:c r="C12" s="51" t="n">
        <x:v>100.78</x:v>
      </x:c>
      <x:c r="D12" s="51" t="n">
        <x:v>107.37</x:v>
      </x:c>
      <x:c r="E12" s="51" t="n">
        <x:v>102.44</x:v>
      </x:c>
      <x:c r="F12" s="51" t="n">
        <x:v>96.66</x:v>
      </x:c>
      <x:c r="G12" s="51" t="n">
        <x:v>90.8</x:v>
      </x:c>
      <x:c r="H12" s="51" t="n">
        <x:v>95.09</x:v>
      </x:c>
      <x:c r="I12" s="51" t="n">
        <x:v>95.95</x:v>
      </x:c>
      <x:c r="J12" s="51" t="n">
        <x:v>89.47</x:v>
      </x:c>
      <x:c r="K12" s="51" t="n">
        <x:v>86.04</x:v>
      </x:c>
      <x:c r="L12" s="52" t="n">
        <x:f>AVERAGE(B12:K12)</x:f>
        <x:v>97.095</x:v>
      </x:c>
    </x:row>
    <x:row r="13">
      <x:c r="A13" s="36" t="str">
        <x:v>5105 SERRA ALTA</x:v>
      </x:c>
      <x:c r="B13" s="51" t="n">
        <x:v>91.12</x:v>
      </x:c>
      <x:c r="C13" s="51" t="n">
        <x:v>88.28</x:v>
      </x:c>
      <x:c r="D13" s="51" t="n">
        <x:v>89.16</x:v>
      </x:c>
      <x:c r="E13" s="51" t="n">
        <x:v>90.56</x:v>
      </x:c>
      <x:c r="F13" s="51" t="n">
        <x:v>82.3</x:v>
      </x:c>
      <x:c r="G13" s="51" t="n">
        <x:v>85.21</x:v>
      </x:c>
      <x:c r="H13" s="51" t="n">
        <x:v>83.01</x:v>
      </x:c>
      <x:c r="I13" s="51" t="n">
        <x:v>86.44</x:v>
      </x:c>
      <x:c r="J13" s="51" t="n">
        <x:v>89.99</x:v>
      </x:c>
      <x:c r="K13" s="51" t="n">
        <x:v>88.14</x:v>
      </x:c>
      <x:c r="L13" s="52" t="n">
        <x:f>AVERAGE(B13:K13)</x:f>
        <x:v>87.42099999999999</x:v>
      </x:c>
    </x:row>
    <x:row r="14">
      <x:c r="A14" s="36" t="str">
        <x:v>5107 VALE DAS ÁGUAS</x:v>
      </x:c>
      <x:c r="B14" s="51" t="n">
        <x:v>101.8</x:v>
      </x:c>
      <x:c r="C14" s="51" t="n">
        <x:v>105.29</x:v>
      </x:c>
      <x:c r="D14" s="51" t="n">
        <x:v>96.21</x:v>
      </x:c>
      <x:c r="E14" s="51" t="n">
        <x:v>99.55</x:v>
      </x:c>
      <x:c r="F14" s="51" t="n">
        <x:v>94.64</x:v>
      </x:c>
      <x:c r="G14" s="51" t="n">
        <x:v>92.21</x:v>
      </x:c>
      <x:c r="H14" s="51" t="n">
        <x:v>91.96</x:v>
      </x:c>
      <x:c r="I14" s="51" t="n">
        <x:v>87.59</x:v>
      </x:c>
      <x:c r="J14" s="51" t="n">
        <x:v>84.82</x:v>
      </x:c>
      <x:c r="K14" s="51" t="n">
        <x:v>93.08</x:v>
      </x:c>
      <x:c r="L14" s="52" t="n">
        <x:f>AVERAGE(B14:K14)</x:f>
        <x:v>94.71500000000002</x:v>
      </x:c>
    </x:row>
    <x:row r="15">
      <x:c r="A15" s="36" t="str">
        <x:v>5103 PLANALTO LESTE</x:v>
      </x:c>
      <x:c r="B15" s="51" t="n">
        <x:v>88.82</x:v>
      </x:c>
      <x:c r="C15" s="51" t="n">
        <x:v>76.83</x:v>
      </x:c>
      <x:c r="D15" s="51" t="n">
        <x:v>75.57</x:v>
      </x:c>
      <x:c r="E15" s="51" t="n">
        <x:v>80.73</x:v>
      </x:c>
      <x:c r="F15" s="51" t="n">
        <x:v>76.23</x:v>
      </x:c>
      <x:c r="G15" s="51" t="n">
        <x:v>78.63</x:v>
      </x:c>
      <x:c r="H15" s="51" t="n">
        <x:v>82.45</x:v>
      </x:c>
      <x:c r="I15" s="51" t="n">
        <x:v>87.28</x:v>
      </x:c>
      <x:c r="J15" s="51" t="n">
        <x:v>81.96</x:v>
      </x:c>
      <x:c r="K15" s="51" t="n">
        <x:v>83.88</x:v>
      </x:c>
      <x:c r="L15" s="52" t="n">
        <x:f>AVERAGE(B15:K15)</x:f>
        <x:v>81.238</x:v>
      </x:c>
    </x:row>
    <x:row r="16">
      <x:c r="A16" s="39" t="str">
        <x:v>5106 COSTA SUL</x:v>
      </x:c>
      <x:c r="B16" s="53" t="n">
        <x:v>101.61</x:v>
      </x:c>
      <x:c r="C16" s="53" t="n">
        <x:v>95.04</x:v>
      </x:c>
      <x:c r="D16" s="53" t="n">
        <x:v>89.04</x:v>
      </x:c>
      <x:c r="E16" s="53" t="n">
        <x:v>95.28</x:v>
      </x:c>
      <x:c r="F16" s="53" t="n">
        <x:v>91.25</x:v>
      </x:c>
      <x:c r="G16" s="53" t="n">
        <x:v>81.42</x:v>
      </x:c>
      <x:c r="H16" s="53" t="n">
        <x:v>89.17</x:v>
      </x:c>
      <x:c r="I16" s="53" t="n">
        <x:v>83.14</x:v>
      </x:c>
      <x:c r="J16" s="53" t="n">
        <x:v>82.91</x:v>
      </x:c>
      <x:c r="K16" s="53" t="n">
        <x:v>87.81</x:v>
      </x:c>
      <x:c r="L16" s="54" t="n">
        <x:f>AVERAGE(B16:K16)</x:f>
        <x:v>89.66699999999999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26" t="str">
        <x:v>Imunizações - Cobertura - Base Fictícia</x:v>
      </x:c>
    </x:row>
    <x:row r="2">
      <x:c r="A2" s="26" t="str">
        <x:v>Vacina Gama por Ano segundo Macrorregião de Saúde</x:v>
      </x:c>
    </x:row>
    <x:row r="3">
      <x:c r="A3" t="str">
        <x:v>Região: Estado Fictício; Período: 2016-2025; Dados simulados</x:v>
      </x:c>
    </x:row>
    <x:row r="7">
      <x:c r="A7" s="33" t="str">
        <x:v>Macrorregião de Saúde</x:v>
      </x:c>
      <x:c r="B7" s="34" t="str">
        <x:v>MÉDIA</x:v>
      </x:c>
      <x:c r="C7" s="34" t="n">
        <x:v>2025</x:v>
      </x:c>
      <x:c r="D7" s="34" t="n">
        <x:v>2024</x:v>
      </x:c>
      <x:c r="E7" s="34" t="n">
        <x:v>2023</x:v>
      </x:c>
      <x:c r="F7" s="34" t="n">
        <x:v>2022</x:v>
      </x:c>
      <x:c r="G7" s="34" t="n">
        <x:v>2021</x:v>
      </x:c>
      <x:c r="H7" s="34" t="n">
        <x:v>2020</x:v>
      </x:c>
      <x:c r="I7" s="34" t="n">
        <x:v>2019</x:v>
      </x:c>
      <x:c r="J7" s="34" t="n">
        <x:v>2018</x:v>
      </x:c>
      <x:c r="K7" s="34" t="n">
        <x:v>2017</x:v>
      </x:c>
      <x:c r="L7" s="35" t="n">
        <x:v>2016</x:v>
      </x:c>
    </x:row>
    <x:row r="8">
      <x:c r="A8" s="36" t="str">
        <x:v>5104 OESTE VERDE</x:v>
      </x:c>
      <x:c r="B8" s="51" t="n">
        <x:f>AVERAGE(C8:L8)</x:f>
        <x:v>87.08599999999998</x:v>
      </x:c>
      <x:c r="C8" s="51" t="n">
        <x:v>94.63</x:v>
      </x:c>
      <x:c r="D8" s="51" t="n">
        <x:v>89.02</x:v>
      </x:c>
      <x:c r="E8" s="51" t="n">
        <x:v>85.08</x:v>
      </x:c>
      <x:c r="F8" s="51" t="n">
        <x:v>83.27</x:v>
      </x:c>
      <x:c r="G8" s="51" t="n">
        <x:v>87.36</x:v>
      </x:c>
      <x:c r="H8" s="51" t="n">
        <x:v>81.55</x:v>
      </x:c>
      <x:c r="I8" s="51" t="n">
        <x:v>86.02</x:v>
      </x:c>
      <x:c r="J8" s="51" t="n">
        <x:v>86.54</x:v>
      </x:c>
      <x:c r="K8" s="51" t="n">
        <x:v>86.23</x:v>
      </x:c>
      <x:c r="L8" s="52" t="n">
        <x:v>91.16</x:v>
      </x:c>
    </x:row>
    <x:row r="9">
      <x:c r="A9" s="36" t="str">
        <x:v>5102 VALE CENTRAL</x:v>
      </x:c>
      <x:c r="B9" s="51" t="n">
        <x:f>AVERAGE(C9:L9)</x:f>
        <x:v>81.262</x:v>
      </x:c>
      <x:c r="C9" s="51" t="n">
        <x:v>79.77</x:v>
      </x:c>
      <x:c r="D9" s="51" t="n">
        <x:v>86.22</x:v>
      </x:c>
      <x:c r="E9" s="51" t="n">
        <x:v>80.17</x:v>
      </x:c>
      <x:c r="F9" s="51" t="n">
        <x:v>74.67</x:v>
      </x:c>
      <x:c r="G9" s="51" t="n">
        <x:v>81.04</x:v>
      </x:c>
      <x:c r="H9" s="51" t="n">
        <x:v>78.07</x:v>
      </x:c>
      <x:c r="I9" s="51" t="n">
        <x:v>80.91</x:v>
      </x:c>
      <x:c r="J9" s="51" t="n">
        <x:v>81.77</x:v>
      </x:c>
      <x:c r="K9" s="51" t="n">
        <x:v>86.7</x:v>
      </x:c>
      <x:c r="L9" s="52" t="n">
        <x:v>83.3</x:v>
      </x:c>
    </x:row>
    <x:row r="10">
      <x:c r="A10" s="36" t="str">
        <x:v>5107 VALE DAS ÁGUAS</x:v>
      </x:c>
      <x:c r="B10" s="51" t="n">
        <x:f>AVERAGE(C10:L10)</x:f>
        <x:v>98.05</x:v>
      </x:c>
      <x:c r="C10" s="51" t="n">
        <x:v>104.47</x:v>
      </x:c>
      <x:c r="D10" s="51" t="n">
        <x:v>103.39</x:v>
      </x:c>
      <x:c r="E10" s="51" t="n">
        <x:v>103.37</x:v>
      </x:c>
      <x:c r="F10" s="51" t="n">
        <x:v>101.22</x:v>
      </x:c>
      <x:c r="G10" s="51" t="n">
        <x:v>97.07</x:v>
      </x:c>
      <x:c r="H10" s="51" t="n">
        <x:v>98.99</x:v>
      </x:c>
      <x:c r="I10" s="51" t="n">
        <x:v>96.86</x:v>
      </x:c>
      <x:c r="J10" s="51" t="n">
        <x:v>90.23</x:v>
      </x:c>
      <x:c r="K10" s="51" t="n">
        <x:v>92.98</x:v>
      </x:c>
      <x:c r="L10" s="52" t="n">
        <x:v>91.92</x:v>
      </x:c>
    </x:row>
    <x:row r="11">
      <x:c r="A11" s="36" t="str">
        <x:v>5108 CAMPOS DO NORTE</x:v>
      </x:c>
      <x:c r="B11" s="51" t="n">
        <x:f>AVERAGE(C11:L11)</x:f>
        <x:v>98.638</x:v>
      </x:c>
      <x:c r="C11" s="51" t="n">
        <x:v>99.35</x:v>
      </x:c>
      <x:c r="D11" s="51" t="n">
        <x:v>102.97</x:v>
      </x:c>
      <x:c r="E11" s="51" t="n">
        <x:v>103.58</x:v>
      </x:c>
      <x:c r="F11" s="51" t="n">
        <x:v>107.28</x:v>
      </x:c>
      <x:c r="G11" s="51" t="n">
        <x:v>103.5</x:v>
      </x:c>
      <x:c r="H11" s="51" t="n">
        <x:v>102.2</x:v>
      </x:c>
      <x:c r="I11" s="51" t="n">
        <x:v>101.08</x:v>
      </x:c>
      <x:c r="J11" s="51" t="n">
        <x:v>90.19</x:v>
      </x:c>
      <x:c r="K11" s="51" t="n">
        <x:v>88.16</x:v>
      </x:c>
      <x:c r="L11" s="52" t="n">
        <x:v>88.07</x:v>
      </x:c>
    </x:row>
    <x:row r="12">
      <x:c r="A12" s="36" t="str">
        <x:v>5106 COSTA SUL</x:v>
      </x:c>
      <x:c r="B12" s="51" t="n">
        <x:f>AVERAGE(C12:L12)</x:f>
        <x:v>92.05499999999999</x:v>
      </x:c>
      <x:c r="C12" s="51" t="n">
        <x:v>105.36</x:v>
      </x:c>
      <x:c r="D12" s="51" t="n">
        <x:v>98.03</x:v>
      </x:c>
      <x:c r="E12" s="51" t="n">
        <x:v>97.87</x:v>
      </x:c>
      <x:c r="F12" s="51" t="n">
        <x:v>90.58</x:v>
      </x:c>
      <x:c r="G12" s="51" t="n">
        <x:v>93.45</x:v>
      </x:c>
      <x:c r="H12" s="51" t="n">
        <x:v>91.19</x:v>
      </x:c>
      <x:c r="I12" s="51" t="n">
        <x:v>91.17</x:v>
      </x:c>
      <x:c r="J12" s="51" t="n">
        <x:v>82.56</x:v>
      </x:c>
      <x:c r="K12" s="51" t="n">
        <x:v>84.17</x:v>
      </x:c>
      <x:c r="L12" s="52" t="n">
        <x:v>86.17</x:v>
      </x:c>
    </x:row>
    <x:row r="13">
      <x:c r="A13" s="36" t="str">
        <x:v>5103 PLANALTO LESTE</x:v>
      </x:c>
      <x:c r="B13" s="51" t="n">
        <x:f>AVERAGE(C13:L13)</x:f>
        <x:v>84.71199999999999</x:v>
      </x:c>
      <x:c r="C13" s="51" t="n">
        <x:v>83.85</x:v>
      </x:c>
      <x:c r="D13" s="51" t="n">
        <x:v>84.42</x:v>
      </x:c>
      <x:c r="E13" s="51" t="n">
        <x:v>83.41</x:v>
      </x:c>
      <x:c r="F13" s="51" t="n">
        <x:v>84.75</x:v>
      </x:c>
      <x:c r="G13" s="51" t="n">
        <x:v>81.46</x:v>
      </x:c>
      <x:c r="H13" s="51" t="n">
        <x:v>80.42</x:v>
      </x:c>
      <x:c r="I13" s="51" t="n">
        <x:v>88.02</x:v>
      </x:c>
      <x:c r="J13" s="51" t="n">
        <x:v>85.83</x:v>
      </x:c>
      <x:c r="K13" s="51" t="n">
        <x:v>90.43</x:v>
      </x:c>
      <x:c r="L13" s="52" t="n">
        <x:v>84.53</x:v>
      </x:c>
    </x:row>
    <x:row r="14">
      <x:c r="A14" s="36" t="str">
        <x:v>5105 SERRA ALTA</x:v>
      </x:c>
      <x:c r="B14" s="51" t="n">
        <x:f>AVERAGE(C14:L14)</x:f>
        <x:v>91.016</x:v>
      </x:c>
      <x:c r="C14" s="51" t="n">
        <x:v>97.15</x:v>
      </x:c>
      <x:c r="D14" s="51" t="n">
        <x:v>98.51</x:v>
      </x:c>
      <x:c r="E14" s="51" t="n">
        <x:v>89.99</x:v>
      </x:c>
      <x:c r="F14" s="51" t="n">
        <x:v>94.62</x:v>
      </x:c>
      <x:c r="G14" s="51" t="n">
        <x:v>86.9</x:v>
      </x:c>
      <x:c r="H14" s="51" t="n">
        <x:v>86.51</x:v>
      </x:c>
      <x:c r="I14" s="51" t="n">
        <x:v>89.18</x:v>
      </x:c>
      <x:c r="J14" s="51" t="n">
        <x:v>86.14</x:v>
      </x:c>
      <x:c r="K14" s="51" t="n">
        <x:v>86.72</x:v>
      </x:c>
      <x:c r="L14" s="52" t="n">
        <x:v>94.44</x:v>
      </x:c>
    </x:row>
    <x:row r="15">
      <x:c r="A15" s="39" t="str">
        <x:v>5101 LITORAL NORTE</x:v>
      </x:c>
      <x:c r="B15" s="53" t="n">
        <x:f>AVERAGE(C15:L15)</x:f>
        <x:v>81.587</x:v>
      </x:c>
      <x:c r="C15" s="53" t="n">
        <x:v>84.19</x:v>
      </x:c>
      <x:c r="D15" s="53" t="n">
        <x:v>81.5</x:v>
      </x:c>
      <x:c r="E15" s="53" t="n">
        <x:v>79.33</x:v>
      </x:c>
      <x:c r="F15" s="53" t="n">
        <x:v>79.11</x:v>
      </x:c>
      <x:c r="G15" s="53" t="n">
        <x:v>81.73</x:v>
      </x:c>
      <x:c r="H15" s="53" t="n">
        <x:v>78.58</x:v>
      </x:c>
      <x:c r="I15" s="53" t="n">
        <x:v>81.08</x:v>
      </x:c>
      <x:c r="J15" s="53" t="n">
        <x:v>86.24</x:v>
      </x:c>
      <x:c r="K15" s="53" t="n">
        <x:v>82.66</x:v>
      </x:c>
      <x:c r="L15" s="54" t="n">
        <x:v>81.45</x:v>
      </x:c>
    </x:row>
  </x:sheetData>
  <x:pageMargins left="0.7" right="0.7" top="0.75" bottom="0.75" header="0.3" footer="0.3"/>
</x:worksheet>
</file>